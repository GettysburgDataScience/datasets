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tracy/Desktop/"/>
    </mc:Choice>
  </mc:AlternateContent>
  <xr:revisionPtr revIDLastSave="0" documentId="8_{22CAB6A9-3C67-0B4E-8311-EEE61BF4357C}" xr6:coauthVersionLast="47" xr6:coauthVersionMax="47" xr10:uidLastSave="{00000000-0000-0000-0000-000000000000}"/>
  <bookViews>
    <workbookView xWindow="780" yWindow="1000" windowWidth="27640" windowHeight="16440" xr2:uid="{F9DA51DD-8A3D-824F-B0C2-842F9BC3F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N46" i="1"/>
  <c r="M46" i="1"/>
  <c r="L46" i="1"/>
</calcChain>
</file>

<file path=xl/sharedStrings.xml><?xml version="1.0" encoding="utf-8"?>
<sst xmlns="http://schemas.openxmlformats.org/spreadsheetml/2006/main" count="175" uniqueCount="66">
  <si>
    <t>movie_title</t>
  </si>
  <si>
    <t>Type</t>
  </si>
  <si>
    <t>mcu_phase_number</t>
  </si>
  <si>
    <t>mcu_phase_text</t>
  </si>
  <si>
    <t>release_date</t>
  </si>
  <si>
    <t>release_year</t>
  </si>
  <si>
    <t>rt_tomato_meter</t>
  </si>
  <si>
    <t>rt_audience_score</t>
  </si>
  <si>
    <t>imdb-rating</t>
  </si>
  <si>
    <t>metacritic_metascore</t>
  </si>
  <si>
    <t>metacritic_userscore</t>
  </si>
  <si>
    <t>production_budget</t>
  </si>
  <si>
    <t>domestic_box_office</t>
  </si>
  <si>
    <t>international_box_office</t>
  </si>
  <si>
    <t>worldwide_box_office</t>
  </si>
  <si>
    <t>Iron Man</t>
  </si>
  <si>
    <t>Movie</t>
  </si>
  <si>
    <t>MCU Phase 1</t>
  </si>
  <si>
    <t>The Incredible Hulk</t>
  </si>
  <si>
    <t>Iron Man 2</t>
  </si>
  <si>
    <t>Thor</t>
  </si>
  <si>
    <t>Captain America: The First Avenger</t>
  </si>
  <si>
    <t>The Avengers</t>
  </si>
  <si>
    <t>Iron Man 3</t>
  </si>
  <si>
    <t>MCU Phase 2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</si>
  <si>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</si>
  <si>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</si>
  <si>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</si>
  <si>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</si>
  <si>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</si>
  <si>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</si>
  <si>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MCU Phase 3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</si>
  <si>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</si>
  <si>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</si>
  <si>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</si>
  <si>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</si>
  <si>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</si>
  <si>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</si>
  <si>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</si>
  <si>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</si>
  <si>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Endgame</t>
  </si>
  <si>
    <t>Spider-Man: Far From Home</t>
  </si>
  <si>
    <t>WandaVision</t>
  </si>
  <si>
    <t>TV Show</t>
  </si>
  <si>
    <t>MCU Phase 4</t>
  </si>
  <si>
    <t>-</t>
  </si>
  <si>
    <t>The Falcon and the Winter Soldier</t>
  </si>
  <si>
    <t>Loki</t>
  </si>
  <si>
    <t>Black Widow</t>
  </si>
  <si>
    <t>What If…?</t>
  </si>
  <si>
    <t>Shang-Chi and the Legend of the Ten Rings</t>
  </si>
  <si>
    <t>Eternals</t>
  </si>
  <si>
    <t>Hawkeye</t>
  </si>
  <si>
    <t>Spider-Man: No Way Home</t>
  </si>
  <si>
    <t>Moon Knight</t>
  </si>
  <si>
    <t>Doctor Strange: Multiverse of Madness</t>
  </si>
  <si>
    <t>Ms. Marvel</t>
  </si>
  <si>
    <t>Thor: Love and Thunder</t>
  </si>
  <si>
    <t>She-Hulk</t>
  </si>
  <si>
    <t>Black Panther: Wakanda Forever</t>
  </si>
  <si>
    <t>Ant-Man and the Wasp: Quantumania</t>
  </si>
  <si>
    <t>MCU Phase 5</t>
  </si>
  <si>
    <t>Guardians of the Galaxy Vol. 3</t>
  </si>
  <si>
    <t>Secret Invasion</t>
  </si>
  <si>
    <t>The Marvels</t>
  </si>
  <si>
    <t>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</si>
</sst>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3C3C-6AB4-4C45-A22F-0D0DE7540FF6}">
  <dimension ref="A1:O46"/>
  <sheetViews>
    <sheetView tabSelected="1" zoomScale="119" workbookViewId="0"/>
  </sheetViews>
  <sheetFormatPr baseColWidth="10" defaultRowHeight="16" x14ac:dyDescent="0.2"/>
  <cols>
    <col min="1" max="1" width="36.1640625" customWidth="1"/>
    <col min="2" max="2" width="13.6640625" customWidth="1"/>
    <col min="4" max="4" width="14.33203125" bestFit="1" customWidth="1"/>
    <col min="5" max="5" width="10.83203125" style="1"/>
    <col min="6" max="6" width="10.83203125" style="2"/>
    <col min="12" max="12" width="16.5" style="3" bestFit="1" customWidth="1"/>
    <col min="13" max="13" width="17.83203125" style="3" bestFit="1" customWidth="1"/>
    <col min="14" max="14" width="17.83203125" style="3" customWidth="1"/>
    <col min="15" max="15" width="18.6640625" style="3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t="s">
        <v>15</v>
      </c>
      <c r="B2" t="s">
        <v>16</v>
      </c>
      <c r="C2">
        <v>1</v>
      </c>
      <c r="D2" t="s">
        <v>17</v>
      </c>
      <c r="E2" s="1">
        <v>39570</v>
      </c>
      <c r="F2" s="2">
        <v>2008</v>
      </c>
      <c r="G2">
        <v>94</v>
      </c>
      <c r="H2">
        <v>91</v>
      </c>
      <c r="I2" s="4">
        <v>7.9</v>
      </c>
      <c r="J2" s="4">
        <v>79</v>
      </c>
      <c r="K2" s="4">
        <v>8.6</v>
      </c>
      <c r="L2" s="3">
        <v>140000000</v>
      </c>
      <c r="M2" s="3">
        <v>319034126</v>
      </c>
      <c r="N2" s="3">
        <v>266762121</v>
      </c>
      <c r="O2" s="3">
        <v>585796247</v>
      </c>
    </row>
    <row r="3" spans="1:15" x14ac:dyDescent="0.2">
      <c r="A3" t="s">
        <v>18</v>
      </c>
      <c r="B3" t="s">
        <v>16</v>
      </c>
      <c r="C3">
        <v>1</v>
      </c>
      <c r="D3" t="s">
        <v>17</v>
      </c>
      <c r="E3" s="1">
        <v>39612</v>
      </c>
      <c r="F3" s="2">
        <v>2008</v>
      </c>
      <c r="G3">
        <v>67</v>
      </c>
      <c r="H3">
        <v>70</v>
      </c>
      <c r="I3" s="4">
        <v>6.6</v>
      </c>
      <c r="J3">
        <v>61</v>
      </c>
      <c r="K3">
        <v>6.8</v>
      </c>
      <c r="L3" s="3">
        <v>140000000</v>
      </c>
      <c r="M3" s="3">
        <v>134806913</v>
      </c>
      <c r="N3" s="3">
        <v>128620638</v>
      </c>
      <c r="O3" s="3">
        <v>263427551</v>
      </c>
    </row>
    <row r="4" spans="1:15" x14ac:dyDescent="0.2">
      <c r="A4" t="s">
        <v>19</v>
      </c>
      <c r="B4" t="s">
        <v>16</v>
      </c>
      <c r="C4">
        <v>1</v>
      </c>
      <c r="D4" t="s">
        <v>17</v>
      </c>
      <c r="E4" s="1">
        <v>40305</v>
      </c>
      <c r="F4" s="2">
        <v>2010</v>
      </c>
      <c r="G4">
        <v>72</v>
      </c>
      <c r="H4">
        <v>71</v>
      </c>
      <c r="I4" s="4">
        <v>6.9</v>
      </c>
      <c r="J4" s="4">
        <v>57</v>
      </c>
      <c r="K4" s="4">
        <v>6.4</v>
      </c>
      <c r="L4" s="3">
        <v>200000000</v>
      </c>
      <c r="M4" s="3">
        <v>312433331</v>
      </c>
      <c r="N4" s="3">
        <v>311500000</v>
      </c>
      <c r="O4" s="3">
        <v>623933331</v>
      </c>
    </row>
    <row r="5" spans="1:15" x14ac:dyDescent="0.2">
      <c r="A5" t="s">
        <v>20</v>
      </c>
      <c r="B5" t="s">
        <v>16</v>
      </c>
      <c r="C5">
        <v>1</v>
      </c>
      <c r="D5" t="s">
        <v>17</v>
      </c>
      <c r="E5" s="1">
        <v>40669</v>
      </c>
      <c r="F5" s="2">
        <v>2011</v>
      </c>
      <c r="G5">
        <v>77</v>
      </c>
      <c r="H5">
        <v>76</v>
      </c>
      <c r="I5" s="4">
        <v>7</v>
      </c>
      <c r="J5" s="4">
        <v>57</v>
      </c>
      <c r="K5" s="4">
        <v>7</v>
      </c>
      <c r="L5" s="3">
        <v>150000000</v>
      </c>
      <c r="M5" s="3">
        <v>181030624</v>
      </c>
      <c r="N5" s="3">
        <v>268295994</v>
      </c>
      <c r="O5" s="3">
        <v>449326618</v>
      </c>
    </row>
    <row r="6" spans="1:15" x14ac:dyDescent="0.2">
      <c r="A6" t="s">
        <v>21</v>
      </c>
      <c r="B6" t="s">
        <v>16</v>
      </c>
      <c r="C6">
        <v>1</v>
      </c>
      <c r="D6" t="s">
        <v>17</v>
      </c>
      <c r="E6" s="1">
        <v>40746</v>
      </c>
      <c r="F6" s="2">
        <v>2011</v>
      </c>
      <c r="G6">
        <v>79</v>
      </c>
      <c r="H6">
        <v>75</v>
      </c>
      <c r="I6" s="4">
        <v>6.9</v>
      </c>
      <c r="J6" s="4">
        <v>66</v>
      </c>
      <c r="K6" s="4">
        <v>6.8</v>
      </c>
      <c r="L6" s="3">
        <v>140000000</v>
      </c>
      <c r="M6" s="3">
        <v>176654505</v>
      </c>
      <c r="N6" s="3">
        <v>193915269</v>
      </c>
      <c r="O6" s="3">
        <v>370569774</v>
      </c>
    </row>
    <row r="7" spans="1:15" x14ac:dyDescent="0.2">
      <c r="A7" t="s">
        <v>22</v>
      </c>
      <c r="B7" t="s">
        <v>16</v>
      </c>
      <c r="C7">
        <v>1</v>
      </c>
      <c r="D7" t="s">
        <v>17</v>
      </c>
      <c r="E7" s="1">
        <v>41033</v>
      </c>
      <c r="F7" s="2">
        <v>2012</v>
      </c>
      <c r="G7">
        <v>91</v>
      </c>
      <c r="H7">
        <v>91</v>
      </c>
      <c r="I7" s="4">
        <v>8</v>
      </c>
      <c r="J7" s="4">
        <v>69</v>
      </c>
      <c r="K7" s="4">
        <v>8</v>
      </c>
      <c r="L7" s="3">
        <v>220000000</v>
      </c>
      <c r="M7" s="3">
        <v>623357910</v>
      </c>
      <c r="N7" s="3">
        <v>895442000</v>
      </c>
      <c r="O7" s="3">
        <v>1518799910</v>
      </c>
    </row>
    <row r="8" spans="1:15" x14ac:dyDescent="0.2">
      <c r="A8" t="s">
        <v>23</v>
      </c>
      <c r="B8" t="s">
        <v>16</v>
      </c>
      <c r="C8">
        <v>2</v>
      </c>
      <c r="D8" t="s">
        <v>24</v>
      </c>
      <c r="E8" s="1">
        <v>41397</v>
      </c>
      <c r="F8" s="2">
        <v>2013</v>
      </c>
      <c r="G8">
        <v>79</v>
      </c>
      <c r="H8">
        <v>78</v>
      </c>
      <c r="I8" s="4">
        <v>7.1</v>
      </c>
      <c r="J8" s="4">
        <v>62</v>
      </c>
      <c r="K8" s="4">
        <v>6.7</v>
      </c>
      <c r="L8" s="3">
        <v>200000000</v>
      </c>
      <c r="M8" s="3">
        <v>409013994</v>
      </c>
      <c r="N8" s="3">
        <v>806426000</v>
      </c>
      <c r="O8" s="3">
        <v>1215439994</v>
      </c>
    </row>
    <row r="9" spans="1:15" x14ac:dyDescent="0.2">
      <c r="A9" t="s">
        <v>25</v>
      </c>
      <c r="B9" t="s">
        <v>16</v>
      </c>
      <c r="C9">
        <v>2</v>
      </c>
      <c r="D9" t="s">
        <v>24</v>
      </c>
      <c r="E9" s="1">
        <v>41586</v>
      </c>
      <c r="F9" s="2">
        <v>2013</v>
      </c>
      <c r="G9">
        <v>66</v>
      </c>
      <c r="H9">
        <v>75</v>
      </c>
      <c r="I9" s="4">
        <v>6.8</v>
      </c>
      <c r="J9" s="4">
        <v>54</v>
      </c>
      <c r="K9" s="4">
        <v>7</v>
      </c>
      <c r="L9" s="3">
        <v>170000000</v>
      </c>
      <c r="M9" s="3">
        <v>206362140</v>
      </c>
      <c r="N9" s="3">
        <v>438421000</v>
      </c>
      <c r="O9" s="3">
        <v>644783140</v>
      </c>
    </row>
    <row r="10" spans="1:15" x14ac:dyDescent="0.2">
      <c r="A10" t="s">
        <v>26</v>
      </c>
      <c r="B10" t="s">
        <v>16</v>
      </c>
      <c r="C10">
        <v>2</v>
      </c>
      <c r="D10" t="s">
        <v>24</v>
      </c>
      <c r="E10" s="1">
        <v>41733</v>
      </c>
      <c r="F10" s="2">
        <v>2014</v>
      </c>
      <c r="G10">
        <v>90</v>
      </c>
      <c r="H10">
        <v>92</v>
      </c>
      <c r="I10" s="4">
        <v>7.7</v>
      </c>
      <c r="J10" s="4">
        <v>70</v>
      </c>
      <c r="K10" s="4">
        <v>8.3000000000000007</v>
      </c>
      <c r="L10" s="3">
        <v>170000000</v>
      </c>
      <c r="M10" s="3">
        <v>259766572</v>
      </c>
      <c r="N10" s="3">
        <v>454654931</v>
      </c>
      <c r="O10" s="3">
        <v>714421503</v>
      </c>
    </row>
    <row r="11" spans="1:15" x14ac:dyDescent="0.2">
      <c r="A11" t="s">
        <v>27</v>
      </c>
      <c r="B11" t="s">
        <v>16</v>
      </c>
      <c r="C11">
        <v>2</v>
      </c>
      <c r="D11" t="s">
        <v>24</v>
      </c>
      <c r="E11" s="1">
        <v>41852</v>
      </c>
      <c r="F11" s="2">
        <v>2014</v>
      </c>
      <c r="G11">
        <v>92</v>
      </c>
      <c r="H11">
        <v>92</v>
      </c>
      <c r="I11" s="4">
        <v>8</v>
      </c>
      <c r="J11" s="4">
        <v>76</v>
      </c>
      <c r="K11" s="4">
        <v>8.1999999999999993</v>
      </c>
      <c r="L11" s="3">
        <v>170000000</v>
      </c>
      <c r="M11" s="3">
        <v>333176600</v>
      </c>
      <c r="N11" s="3">
        <v>439697800</v>
      </c>
      <c r="O11" s="3">
        <v>772874400</v>
      </c>
    </row>
    <row r="12" spans="1:15" x14ac:dyDescent="0.2">
      <c r="A12" t="s">
        <v>28</v>
      </c>
      <c r="B12" t="s">
        <v>16</v>
      </c>
      <c r="C12">
        <v>2</v>
      </c>
      <c r="D12" t="s">
        <v>24</v>
      </c>
      <c r="E12" s="1">
        <v>42125</v>
      </c>
      <c r="F12" s="2">
        <v>2015</v>
      </c>
      <c r="G12">
        <v>76</v>
      </c>
      <c r="H12">
        <v>83</v>
      </c>
      <c r="I12" s="4">
        <v>7.3</v>
      </c>
      <c r="J12" s="4">
        <v>66</v>
      </c>
      <c r="K12" s="4">
        <v>7.1</v>
      </c>
      <c r="L12" s="3">
        <v>250000000</v>
      </c>
      <c r="M12" s="3">
        <v>459005868</v>
      </c>
      <c r="N12" s="3">
        <v>943786000</v>
      </c>
      <c r="O12" s="3">
        <v>1402791868</v>
      </c>
    </row>
    <row r="13" spans="1:15" x14ac:dyDescent="0.2">
      <c r="A13" t="s">
        <v>29</v>
      </c>
      <c r="B13" t="s">
        <v>16</v>
      </c>
      <c r="C13">
        <v>2</v>
      </c>
      <c r="D13" t="s">
        <v>24</v>
      </c>
      <c r="E13" s="1">
        <v>42202</v>
      </c>
      <c r="F13" s="2">
        <v>2015</v>
      </c>
      <c r="G13">
        <v>83</v>
      </c>
      <c r="H13">
        <v>85</v>
      </c>
      <c r="I13" s="4">
        <v>7.2</v>
      </c>
      <c r="J13" s="4">
        <v>64</v>
      </c>
      <c r="K13" s="4">
        <v>7.4</v>
      </c>
      <c r="L13" s="3">
        <v>130000000</v>
      </c>
      <c r="M13" s="3">
        <v>180202163</v>
      </c>
      <c r="N13" s="3">
        <v>339109802</v>
      </c>
      <c r="O13" s="3">
        <v>519311965</v>
      </c>
    </row>
    <row r="14" spans="1:15" x14ac:dyDescent="0.2">
      <c r="A14" t="s">
        <v>30</v>
      </c>
      <c r="B14" t="s">
        <v>16</v>
      </c>
      <c r="C14">
        <v>3</v>
      </c>
      <c r="D14" t="s">
        <v>31</v>
      </c>
      <c r="E14" s="1">
        <v>42496</v>
      </c>
      <c r="F14" s="2">
        <v>2016</v>
      </c>
      <c r="G14">
        <v>90</v>
      </c>
      <c r="H14">
        <v>89</v>
      </c>
      <c r="I14" s="4">
        <v>7.8</v>
      </c>
      <c r="J14" s="4">
        <v>75</v>
      </c>
      <c r="K14" s="4">
        <v>8</v>
      </c>
      <c r="L14" s="3">
        <v>250000000</v>
      </c>
      <c r="M14" s="3">
        <v>408084349</v>
      </c>
      <c r="N14" s="3">
        <v>745231193</v>
      </c>
      <c r="O14" s="3">
        <v>1153315542</v>
      </c>
    </row>
    <row r="15" spans="1:15" x14ac:dyDescent="0.2">
      <c r="A15" t="s">
        <v>32</v>
      </c>
      <c r="B15" t="s">
        <v>16</v>
      </c>
      <c r="C15">
        <v>3</v>
      </c>
      <c r="D15" t="s">
        <v>31</v>
      </c>
      <c r="E15" s="1">
        <v>42678</v>
      </c>
      <c r="F15" s="2">
        <v>2016</v>
      </c>
      <c r="G15">
        <v>89</v>
      </c>
      <c r="H15">
        <v>86</v>
      </c>
      <c r="I15" s="4">
        <v>7.5</v>
      </c>
      <c r="J15" s="4">
        <v>72</v>
      </c>
      <c r="K15" s="4">
        <v>8</v>
      </c>
      <c r="L15" s="3">
        <v>165000000</v>
      </c>
      <c r="M15" s="3">
        <v>232641920</v>
      </c>
      <c r="N15" s="3">
        <v>445060000</v>
      </c>
      <c r="O15" s="3">
        <v>677718395</v>
      </c>
    </row>
    <row r="16" spans="1:15" x14ac:dyDescent="0.2">
      <c r="A16" t="s">
        <v>33</v>
      </c>
      <c r="B16" t="s">
        <v>16</v>
      </c>
      <c r="C16">
        <v>3</v>
      </c>
      <c r="D16" t="s">
        <v>31</v>
      </c>
      <c r="E16" s="1">
        <v>42860</v>
      </c>
      <c r="F16" s="2">
        <v>2017</v>
      </c>
      <c r="G16">
        <v>85</v>
      </c>
      <c r="H16">
        <v>87</v>
      </c>
      <c r="I16" s="4">
        <v>7.6</v>
      </c>
      <c r="J16" s="4">
        <v>67</v>
      </c>
      <c r="K16" s="4">
        <v>7.8</v>
      </c>
      <c r="L16" s="3">
        <v>200000000</v>
      </c>
      <c r="M16" s="3">
        <v>389813101</v>
      </c>
      <c r="N16" s="3">
        <v>473900000</v>
      </c>
      <c r="O16" s="3">
        <v>863756051</v>
      </c>
    </row>
    <row r="17" spans="1:15" x14ac:dyDescent="0.2">
      <c r="A17" t="s">
        <v>34</v>
      </c>
      <c r="B17" t="s">
        <v>16</v>
      </c>
      <c r="C17">
        <v>3</v>
      </c>
      <c r="D17" t="s">
        <v>31</v>
      </c>
      <c r="E17" s="1">
        <v>42923</v>
      </c>
      <c r="F17" s="2">
        <v>2017</v>
      </c>
      <c r="G17">
        <v>92</v>
      </c>
      <c r="H17">
        <v>87</v>
      </c>
      <c r="I17" s="4">
        <v>7.4</v>
      </c>
      <c r="J17" s="4">
        <v>73</v>
      </c>
      <c r="K17" s="4">
        <v>7.5</v>
      </c>
      <c r="L17" s="3">
        <v>175000000</v>
      </c>
      <c r="M17" s="3">
        <v>334201140</v>
      </c>
      <c r="N17" s="3">
        <v>546171626</v>
      </c>
      <c r="O17" s="3">
        <v>880372766</v>
      </c>
    </row>
    <row r="18" spans="1:15" x14ac:dyDescent="0.2">
      <c r="A18" t="s">
        <v>35</v>
      </c>
      <c r="B18" t="s">
        <v>16</v>
      </c>
      <c r="C18">
        <v>3</v>
      </c>
      <c r="D18" t="s">
        <v>31</v>
      </c>
      <c r="E18" s="1">
        <v>43042</v>
      </c>
      <c r="F18" s="2">
        <v>2017</v>
      </c>
      <c r="G18">
        <v>93</v>
      </c>
      <c r="H18">
        <v>87</v>
      </c>
      <c r="I18" s="4">
        <v>7.9</v>
      </c>
      <c r="J18" s="4">
        <v>74</v>
      </c>
      <c r="K18" s="4">
        <v>7.7</v>
      </c>
      <c r="L18" s="3">
        <v>180000000</v>
      </c>
      <c r="M18" s="3">
        <v>315058289</v>
      </c>
      <c r="N18" s="3">
        <v>538958924</v>
      </c>
      <c r="O18" s="3">
        <v>854017213</v>
      </c>
    </row>
    <row r="19" spans="1:15" x14ac:dyDescent="0.2">
      <c r="A19" t="s">
        <v>36</v>
      </c>
      <c r="B19" t="s">
        <v>16</v>
      </c>
      <c r="C19">
        <v>3</v>
      </c>
      <c r="D19" t="s">
        <v>31</v>
      </c>
      <c r="E19" s="1">
        <v>43147</v>
      </c>
      <c r="F19" s="2">
        <v>2018</v>
      </c>
      <c r="G19">
        <v>96</v>
      </c>
      <c r="H19">
        <v>79</v>
      </c>
      <c r="I19" s="4">
        <v>7.3</v>
      </c>
      <c r="J19" s="4">
        <v>88</v>
      </c>
      <c r="K19" s="4">
        <v>6.3</v>
      </c>
      <c r="L19" s="3">
        <v>200000000</v>
      </c>
      <c r="M19" s="3">
        <v>700059566</v>
      </c>
      <c r="N19" s="3">
        <v>646853595</v>
      </c>
      <c r="O19" s="3">
        <v>1346913161</v>
      </c>
    </row>
    <row r="20" spans="1:15" x14ac:dyDescent="0.2">
      <c r="A20" t="s">
        <v>37</v>
      </c>
      <c r="B20" t="s">
        <v>16</v>
      </c>
      <c r="C20">
        <v>3</v>
      </c>
      <c r="D20" t="s">
        <v>31</v>
      </c>
      <c r="E20" s="1">
        <v>43217</v>
      </c>
      <c r="F20" s="2">
        <v>2018</v>
      </c>
      <c r="G20">
        <v>85</v>
      </c>
      <c r="H20">
        <v>91</v>
      </c>
      <c r="I20" s="4">
        <v>8.4</v>
      </c>
      <c r="J20" s="4">
        <v>68</v>
      </c>
      <c r="K20" s="4">
        <v>8.5</v>
      </c>
      <c r="L20" s="3">
        <v>300000000</v>
      </c>
      <c r="M20" s="3">
        <v>678815482</v>
      </c>
      <c r="N20" s="3">
        <v>1369544272</v>
      </c>
      <c r="O20" s="3">
        <v>2048359754</v>
      </c>
    </row>
    <row r="21" spans="1:15" x14ac:dyDescent="0.2">
      <c r="A21" t="s">
        <v>38</v>
      </c>
      <c r="B21" t="s">
        <v>16</v>
      </c>
      <c r="C21">
        <v>3</v>
      </c>
      <c r="D21" t="s">
        <v>31</v>
      </c>
      <c r="E21" s="1">
        <v>43287</v>
      </c>
      <c r="F21" s="2">
        <v>2018</v>
      </c>
      <c r="G21">
        <v>87</v>
      </c>
      <c r="H21">
        <v>81</v>
      </c>
      <c r="I21" s="4">
        <v>7</v>
      </c>
      <c r="J21" s="4">
        <v>70</v>
      </c>
      <c r="K21" s="4">
        <v>7</v>
      </c>
      <c r="L21" s="3">
        <v>162000000</v>
      </c>
      <c r="M21" s="3">
        <v>216648740</v>
      </c>
      <c r="N21" s="3">
        <v>406300000</v>
      </c>
      <c r="O21" s="3">
        <v>622674139</v>
      </c>
    </row>
    <row r="22" spans="1:15" x14ac:dyDescent="0.2">
      <c r="A22" t="s">
        <v>39</v>
      </c>
      <c r="B22" t="s">
        <v>16</v>
      </c>
      <c r="C22">
        <v>3</v>
      </c>
      <c r="D22" t="s">
        <v>31</v>
      </c>
      <c r="E22" s="1">
        <v>43532</v>
      </c>
      <c r="F22" s="2">
        <v>2019</v>
      </c>
      <c r="G22">
        <v>79</v>
      </c>
      <c r="H22">
        <v>45</v>
      </c>
      <c r="I22" s="4">
        <v>6.8</v>
      </c>
      <c r="J22" s="4">
        <v>64</v>
      </c>
      <c r="K22" s="4">
        <v>3</v>
      </c>
      <c r="L22" s="3">
        <v>152000000</v>
      </c>
      <c r="M22" s="3">
        <v>426829839</v>
      </c>
      <c r="N22" s="3">
        <v>701700000</v>
      </c>
      <c r="O22" s="3">
        <v>1128429839</v>
      </c>
    </row>
    <row r="23" spans="1:15" x14ac:dyDescent="0.2">
      <c r="A23" t="s">
        <v>40</v>
      </c>
      <c r="B23" t="s">
        <v>16</v>
      </c>
      <c r="C23">
        <v>3</v>
      </c>
      <c r="D23" t="s">
        <v>31</v>
      </c>
      <c r="E23" s="1">
        <v>43581</v>
      </c>
      <c r="F23" s="2">
        <v>2019</v>
      </c>
      <c r="G23">
        <v>94</v>
      </c>
      <c r="H23">
        <v>90</v>
      </c>
      <c r="I23" s="4">
        <v>8.4</v>
      </c>
      <c r="J23" s="4">
        <v>78</v>
      </c>
      <c r="K23" s="4">
        <v>7.9</v>
      </c>
      <c r="L23" s="3">
        <v>356000000</v>
      </c>
      <c r="M23" s="3">
        <v>858372000</v>
      </c>
      <c r="N23" s="3">
        <v>1939557910</v>
      </c>
      <c r="O23" s="3">
        <v>2797800564</v>
      </c>
    </row>
    <row r="24" spans="1:15" x14ac:dyDescent="0.2">
      <c r="A24" t="s">
        <v>41</v>
      </c>
      <c r="B24" t="s">
        <v>16</v>
      </c>
      <c r="C24">
        <v>3</v>
      </c>
      <c r="D24" t="s">
        <v>31</v>
      </c>
      <c r="E24" s="1">
        <v>43648</v>
      </c>
      <c r="F24" s="2">
        <v>2019</v>
      </c>
      <c r="G24">
        <v>90</v>
      </c>
      <c r="H24">
        <v>95</v>
      </c>
      <c r="I24" s="4">
        <v>7.4</v>
      </c>
      <c r="J24" s="4">
        <v>69</v>
      </c>
      <c r="K24" s="4">
        <v>7.5</v>
      </c>
      <c r="L24" s="3">
        <v>160000000</v>
      </c>
      <c r="M24" s="3">
        <v>390532085</v>
      </c>
      <c r="N24" s="3">
        <v>741220000</v>
      </c>
      <c r="O24" s="3">
        <v>1131752085</v>
      </c>
    </row>
    <row r="25" spans="1:15" x14ac:dyDescent="0.2">
      <c r="A25" t="s">
        <v>42</v>
      </c>
      <c r="B25" t="s">
        <v>43</v>
      </c>
      <c r="C25">
        <v>4</v>
      </c>
      <c r="D25" t="s">
        <v>44</v>
      </c>
      <c r="E25" s="1">
        <v>44211</v>
      </c>
      <c r="F25" s="2">
        <v>2021</v>
      </c>
      <c r="G25">
        <v>92</v>
      </c>
      <c r="H25">
        <v>88</v>
      </c>
      <c r="I25" s="4">
        <v>7.9</v>
      </c>
      <c r="J25" s="4">
        <v>77</v>
      </c>
      <c r="K25" s="4">
        <v>6.8</v>
      </c>
      <c r="L25" s="3">
        <v>225000000</v>
      </c>
      <c r="M25" s="3" t="s">
        <v>45</v>
      </c>
      <c r="N25" s="3" t="s">
        <v>45</v>
      </c>
      <c r="O25" s="3" t="s">
        <v>45</v>
      </c>
    </row>
    <row r="26" spans="1:15" x14ac:dyDescent="0.2">
      <c r="A26" t="s">
        <v>46</v>
      </c>
      <c r="B26" t="s">
        <v>43</v>
      </c>
      <c r="C26">
        <v>4</v>
      </c>
      <c r="D26" t="s">
        <v>44</v>
      </c>
      <c r="E26" s="1">
        <v>44274</v>
      </c>
      <c r="F26" s="2">
        <v>2021</v>
      </c>
      <c r="G26">
        <v>85</v>
      </c>
      <c r="H26">
        <v>82</v>
      </c>
      <c r="I26" s="4">
        <v>7.1</v>
      </c>
      <c r="J26" s="4">
        <v>74</v>
      </c>
      <c r="K26" s="4">
        <v>5.7</v>
      </c>
      <c r="L26" s="3">
        <v>150000000</v>
      </c>
      <c r="M26" s="3" t="s">
        <v>45</v>
      </c>
      <c r="N26" s="3" t="s">
        <v>45</v>
      </c>
      <c r="O26" s="3" t="s">
        <v>45</v>
      </c>
    </row>
    <row r="27" spans="1:15" x14ac:dyDescent="0.2">
      <c r="A27" t="s">
        <v>47</v>
      </c>
      <c r="B27" t="s">
        <v>43</v>
      </c>
      <c r="C27">
        <v>4</v>
      </c>
      <c r="D27" t="s">
        <v>44</v>
      </c>
      <c r="E27" s="1">
        <v>44356</v>
      </c>
      <c r="F27" s="2">
        <v>2021</v>
      </c>
      <c r="G27">
        <v>92</v>
      </c>
      <c r="H27">
        <v>90</v>
      </c>
      <c r="I27" s="4">
        <v>8.1999999999999993</v>
      </c>
      <c r="J27" s="4">
        <v>70</v>
      </c>
      <c r="K27" s="4">
        <v>7.2</v>
      </c>
      <c r="L27" s="3">
        <v>140000000</v>
      </c>
      <c r="M27" s="3" t="s">
        <v>45</v>
      </c>
      <c r="N27" s="3" t="s">
        <v>45</v>
      </c>
      <c r="O27" s="3" t="s">
        <v>45</v>
      </c>
    </row>
    <row r="28" spans="1:15" x14ac:dyDescent="0.2">
      <c r="A28" t="s">
        <v>48</v>
      </c>
      <c r="B28" t="s">
        <v>16</v>
      </c>
      <c r="C28">
        <v>4</v>
      </c>
      <c r="D28" t="s">
        <v>44</v>
      </c>
      <c r="E28" s="1">
        <v>44386</v>
      </c>
      <c r="F28" s="2">
        <v>2021</v>
      </c>
      <c r="G28">
        <v>79</v>
      </c>
      <c r="H28">
        <v>91</v>
      </c>
      <c r="I28" s="4">
        <v>6.7</v>
      </c>
      <c r="J28" s="4">
        <v>68</v>
      </c>
      <c r="K28" s="4">
        <v>6</v>
      </c>
      <c r="L28" s="3">
        <v>288000000</v>
      </c>
      <c r="M28" s="3">
        <v>183651655</v>
      </c>
      <c r="N28" s="3">
        <v>196100000</v>
      </c>
      <c r="O28" s="3">
        <v>379751655</v>
      </c>
    </row>
    <row r="29" spans="1:15" x14ac:dyDescent="0.2">
      <c r="A29" t="s">
        <v>49</v>
      </c>
      <c r="B29" t="s">
        <v>43</v>
      </c>
      <c r="C29">
        <v>4</v>
      </c>
      <c r="D29" t="s">
        <v>44</v>
      </c>
      <c r="E29" s="1">
        <v>44419</v>
      </c>
      <c r="F29" s="2">
        <v>2021</v>
      </c>
      <c r="G29">
        <v>94</v>
      </c>
      <c r="H29">
        <v>92</v>
      </c>
      <c r="I29" s="4">
        <v>7.4</v>
      </c>
      <c r="J29" s="4">
        <v>72</v>
      </c>
      <c r="K29" s="4">
        <v>6.6</v>
      </c>
      <c r="L29" s="3" t="s">
        <v>45</v>
      </c>
      <c r="M29" s="3" t="s">
        <v>45</v>
      </c>
      <c r="N29" s="3" t="s">
        <v>45</v>
      </c>
      <c r="O29" s="3" t="s">
        <v>45</v>
      </c>
    </row>
    <row r="30" spans="1:15" x14ac:dyDescent="0.2">
      <c r="A30" t="s">
        <v>50</v>
      </c>
      <c r="B30" t="s">
        <v>16</v>
      </c>
      <c r="C30">
        <v>4</v>
      </c>
      <c r="D30" t="s">
        <v>44</v>
      </c>
      <c r="E30" s="1">
        <v>44442</v>
      </c>
      <c r="F30" s="2">
        <v>2021</v>
      </c>
      <c r="G30">
        <v>91</v>
      </c>
      <c r="H30">
        <v>98</v>
      </c>
      <c r="I30" s="4">
        <v>7.4</v>
      </c>
      <c r="J30" s="4">
        <v>71</v>
      </c>
      <c r="K30" s="4">
        <v>7</v>
      </c>
      <c r="L30" s="3">
        <v>150000000</v>
      </c>
      <c r="M30" s="3">
        <v>224543292</v>
      </c>
      <c r="N30" s="3">
        <v>207700000</v>
      </c>
      <c r="O30" s="3">
        <v>432243292</v>
      </c>
    </row>
    <row r="31" spans="1:15" x14ac:dyDescent="0.2">
      <c r="A31" t="s">
        <v>51</v>
      </c>
      <c r="B31" t="s">
        <v>16</v>
      </c>
      <c r="C31">
        <v>4</v>
      </c>
      <c r="D31" t="s">
        <v>44</v>
      </c>
      <c r="E31" s="1">
        <v>44505</v>
      </c>
      <c r="F31" s="2">
        <v>2021</v>
      </c>
      <c r="G31">
        <v>47</v>
      </c>
      <c r="H31">
        <v>78</v>
      </c>
      <c r="I31" s="4">
        <v>6.3</v>
      </c>
      <c r="J31" s="4">
        <v>52</v>
      </c>
      <c r="K31" s="4">
        <v>6.1</v>
      </c>
      <c r="L31" s="3">
        <v>236000000</v>
      </c>
      <c r="M31" s="3">
        <v>164870234</v>
      </c>
      <c r="N31" s="3">
        <v>237194665</v>
      </c>
      <c r="O31" s="3">
        <v>402064899</v>
      </c>
    </row>
    <row r="32" spans="1:15" x14ac:dyDescent="0.2">
      <c r="A32" t="s">
        <v>52</v>
      </c>
      <c r="B32" t="s">
        <v>43</v>
      </c>
      <c r="C32">
        <v>4</v>
      </c>
      <c r="D32" t="s">
        <v>44</v>
      </c>
      <c r="E32" s="1">
        <v>44524</v>
      </c>
      <c r="F32" s="2">
        <v>2021</v>
      </c>
      <c r="G32">
        <v>92</v>
      </c>
      <c r="H32">
        <v>88</v>
      </c>
      <c r="I32" s="4">
        <v>7.5</v>
      </c>
      <c r="J32" s="4">
        <v>66</v>
      </c>
      <c r="K32" s="4">
        <v>6.4</v>
      </c>
      <c r="L32" s="3">
        <v>150000000</v>
      </c>
      <c r="M32" s="3" t="s">
        <v>45</v>
      </c>
      <c r="N32" s="3" t="s">
        <v>45</v>
      </c>
      <c r="O32" s="3" t="s">
        <v>45</v>
      </c>
    </row>
    <row r="33" spans="1:15" x14ac:dyDescent="0.2">
      <c r="A33" t="s">
        <v>53</v>
      </c>
      <c r="B33" t="s">
        <v>16</v>
      </c>
      <c r="C33">
        <v>4</v>
      </c>
      <c r="D33" t="s">
        <v>44</v>
      </c>
      <c r="E33" s="1">
        <v>44547</v>
      </c>
      <c r="F33" s="2">
        <v>2021</v>
      </c>
      <c r="G33">
        <v>93</v>
      </c>
      <c r="H33">
        <v>98</v>
      </c>
      <c r="I33" s="4">
        <v>8.1999999999999993</v>
      </c>
      <c r="J33" s="4">
        <v>71</v>
      </c>
      <c r="K33" s="4">
        <v>8.5</v>
      </c>
      <c r="L33" s="3">
        <v>200000000</v>
      </c>
      <c r="M33" s="3">
        <v>814115070</v>
      </c>
      <c r="N33" s="3">
        <v>1107732041</v>
      </c>
      <c r="O33" s="3">
        <v>1921847111</v>
      </c>
    </row>
    <row r="34" spans="1:15" x14ac:dyDescent="0.2">
      <c r="A34" t="s">
        <v>54</v>
      </c>
      <c r="B34" t="s">
        <v>43</v>
      </c>
      <c r="C34">
        <v>4</v>
      </c>
      <c r="D34" t="s">
        <v>44</v>
      </c>
      <c r="E34" s="1">
        <v>44650</v>
      </c>
      <c r="F34" s="2">
        <v>2022</v>
      </c>
      <c r="G34">
        <v>86</v>
      </c>
      <c r="H34">
        <v>89</v>
      </c>
      <c r="I34" s="4">
        <v>7.3</v>
      </c>
      <c r="J34" s="4">
        <v>69</v>
      </c>
      <c r="K34" s="4">
        <v>6.9</v>
      </c>
      <c r="L34" s="3">
        <v>148000000</v>
      </c>
      <c r="M34" s="3" t="s">
        <v>45</v>
      </c>
      <c r="N34" s="3" t="s">
        <v>45</v>
      </c>
      <c r="O34" s="3" t="s">
        <v>45</v>
      </c>
    </row>
    <row r="35" spans="1:15" x14ac:dyDescent="0.2">
      <c r="A35" t="s">
        <v>55</v>
      </c>
      <c r="B35" t="s">
        <v>16</v>
      </c>
      <c r="C35">
        <v>4</v>
      </c>
      <c r="D35" t="s">
        <v>44</v>
      </c>
      <c r="E35" s="1">
        <v>44687</v>
      </c>
      <c r="F35" s="2">
        <v>2022</v>
      </c>
      <c r="G35">
        <v>73</v>
      </c>
      <c r="H35">
        <v>85</v>
      </c>
      <c r="I35" s="4">
        <v>6.9</v>
      </c>
      <c r="J35" s="4">
        <v>60</v>
      </c>
      <c r="K35" s="4">
        <v>5.9</v>
      </c>
      <c r="L35" s="3">
        <v>294000000</v>
      </c>
      <c r="M35" s="3">
        <v>411331607</v>
      </c>
      <c r="N35" s="3">
        <v>544444197</v>
      </c>
      <c r="O35" s="3">
        <v>955775804</v>
      </c>
    </row>
    <row r="36" spans="1:15" x14ac:dyDescent="0.2">
      <c r="A36" t="s">
        <v>56</v>
      </c>
      <c r="B36" t="s">
        <v>43</v>
      </c>
      <c r="C36">
        <v>4</v>
      </c>
      <c r="D36" t="s">
        <v>44</v>
      </c>
      <c r="E36" s="1">
        <v>44720</v>
      </c>
      <c r="F36" s="2">
        <v>2022</v>
      </c>
      <c r="G36">
        <v>98</v>
      </c>
      <c r="H36">
        <v>80</v>
      </c>
      <c r="I36" s="4">
        <v>6.3</v>
      </c>
      <c r="J36" s="4">
        <v>78</v>
      </c>
      <c r="K36" s="4">
        <v>4.3</v>
      </c>
      <c r="L36" s="3">
        <v>150000000</v>
      </c>
      <c r="M36" s="3" t="s">
        <v>45</v>
      </c>
      <c r="N36" s="3" t="s">
        <v>45</v>
      </c>
      <c r="O36" s="3" t="s">
        <v>45</v>
      </c>
    </row>
    <row r="37" spans="1:15" x14ac:dyDescent="0.2">
      <c r="A37" t="s">
        <v>57</v>
      </c>
      <c r="B37" t="s">
        <v>16</v>
      </c>
      <c r="C37">
        <v>4</v>
      </c>
      <c r="D37" t="s">
        <v>44</v>
      </c>
      <c r="E37" s="1">
        <v>44750</v>
      </c>
      <c r="F37" s="2">
        <v>2022</v>
      </c>
      <c r="G37">
        <v>63</v>
      </c>
      <c r="H37">
        <v>76</v>
      </c>
      <c r="I37" s="4">
        <v>6.2</v>
      </c>
      <c r="J37" s="4">
        <v>57</v>
      </c>
      <c r="K37" s="4">
        <v>4.8</v>
      </c>
      <c r="L37" s="3">
        <v>250000000</v>
      </c>
      <c r="M37" s="3">
        <v>343256830</v>
      </c>
      <c r="N37" s="3">
        <v>417671251</v>
      </c>
      <c r="O37" s="3">
        <v>760928081</v>
      </c>
    </row>
    <row r="38" spans="1:15" x14ac:dyDescent="0.2">
      <c r="A38" t="s">
        <v>58</v>
      </c>
      <c r="B38" t="s">
        <v>43</v>
      </c>
      <c r="C38">
        <v>4</v>
      </c>
      <c r="D38" t="s">
        <v>44</v>
      </c>
      <c r="E38" s="1">
        <v>44791</v>
      </c>
      <c r="F38" s="2">
        <v>2022</v>
      </c>
      <c r="G38">
        <v>77</v>
      </c>
      <c r="H38">
        <v>32</v>
      </c>
      <c r="I38" s="4">
        <v>5.3</v>
      </c>
      <c r="J38" s="4">
        <v>67</v>
      </c>
      <c r="K38" s="4">
        <v>2.7</v>
      </c>
      <c r="L38" s="3">
        <v>225000000</v>
      </c>
      <c r="M38" s="3" t="s">
        <v>45</v>
      </c>
      <c r="N38" s="3" t="s">
        <v>45</v>
      </c>
      <c r="O38" s="3" t="s">
        <v>45</v>
      </c>
    </row>
    <row r="39" spans="1:15" x14ac:dyDescent="0.2">
      <c r="A39" t="s">
        <v>59</v>
      </c>
      <c r="B39" t="s">
        <v>16</v>
      </c>
      <c r="C39">
        <v>4</v>
      </c>
      <c r="D39" t="s">
        <v>44</v>
      </c>
      <c r="E39" s="1">
        <v>44876</v>
      </c>
      <c r="F39" s="2">
        <v>2022</v>
      </c>
      <c r="G39">
        <v>83</v>
      </c>
      <c r="H39">
        <v>94</v>
      </c>
      <c r="I39" s="4">
        <v>6.7</v>
      </c>
      <c r="J39" s="4">
        <v>67</v>
      </c>
      <c r="K39" s="4">
        <v>5.2</v>
      </c>
      <c r="L39" s="3">
        <v>200000000</v>
      </c>
      <c r="M39" s="3">
        <v>453829060</v>
      </c>
      <c r="N39" s="3">
        <v>405379776</v>
      </c>
      <c r="O39" s="3">
        <v>859208836</v>
      </c>
    </row>
    <row r="40" spans="1:15" x14ac:dyDescent="0.2">
      <c r="A40" t="s">
        <v>60</v>
      </c>
      <c r="B40" t="s">
        <v>16</v>
      </c>
      <c r="C40">
        <v>5</v>
      </c>
      <c r="D40" t="s">
        <v>61</v>
      </c>
      <c r="E40" s="1">
        <v>44974</v>
      </c>
      <c r="F40" s="2">
        <v>2023</v>
      </c>
      <c r="G40">
        <v>46</v>
      </c>
      <c r="H40">
        <v>82</v>
      </c>
      <c r="I40" s="4">
        <v>6.1</v>
      </c>
      <c r="J40" s="4">
        <v>48</v>
      </c>
      <c r="K40" s="4">
        <v>5.5</v>
      </c>
      <c r="L40" s="3">
        <v>200000000</v>
      </c>
      <c r="M40" s="3">
        <v>214504909</v>
      </c>
      <c r="N40" s="3">
        <v>261566271</v>
      </c>
      <c r="O40" s="3">
        <v>476071180</v>
      </c>
    </row>
    <row r="41" spans="1:15" x14ac:dyDescent="0.2">
      <c r="A41" t="s">
        <v>62</v>
      </c>
      <c r="B41" t="s">
        <v>16</v>
      </c>
      <c r="C41">
        <v>5</v>
      </c>
      <c r="D41" t="s">
        <v>61</v>
      </c>
      <c r="E41" s="1">
        <v>45051</v>
      </c>
      <c r="F41" s="2">
        <v>2023</v>
      </c>
      <c r="G41">
        <v>82</v>
      </c>
      <c r="H41">
        <v>94</v>
      </c>
      <c r="I41">
        <v>7.9</v>
      </c>
      <c r="J41">
        <v>64</v>
      </c>
      <c r="K41">
        <v>7.9</v>
      </c>
      <c r="L41" s="3">
        <v>250000000</v>
      </c>
      <c r="M41" s="3">
        <v>358995815</v>
      </c>
      <c r="N41" s="3">
        <v>486559962</v>
      </c>
      <c r="O41" s="3">
        <v>845555777</v>
      </c>
    </row>
    <row r="42" spans="1:15" x14ac:dyDescent="0.2">
      <c r="A42" t="s">
        <v>63</v>
      </c>
      <c r="B42" t="s">
        <v>43</v>
      </c>
      <c r="C42">
        <v>5</v>
      </c>
      <c r="D42" t="s">
        <v>61</v>
      </c>
      <c r="E42" s="1">
        <v>45098</v>
      </c>
      <c r="F42" s="2">
        <v>2023</v>
      </c>
      <c r="G42">
        <v>53</v>
      </c>
      <c r="H42">
        <v>46</v>
      </c>
      <c r="I42" s="4">
        <v>5.9</v>
      </c>
      <c r="J42" s="4">
        <v>63</v>
      </c>
      <c r="K42" s="4">
        <v>3.5</v>
      </c>
      <c r="L42" s="3">
        <v>211000000</v>
      </c>
      <c r="M42" s="3" t="s">
        <v>45</v>
      </c>
      <c r="N42" s="3" t="s">
        <v>45</v>
      </c>
      <c r="O42" s="3" t="s">
        <v>45</v>
      </c>
    </row>
    <row r="43" spans="1:15" x14ac:dyDescent="0.2">
      <c r="A43" t="s">
        <v>64</v>
      </c>
      <c r="B43" t="s">
        <v>16</v>
      </c>
      <c r="C43">
        <v>5</v>
      </c>
      <c r="D43" t="s">
        <v>61</v>
      </c>
      <c r="E43" s="1">
        <v>45240</v>
      </c>
      <c r="F43" s="2">
        <v>2023</v>
      </c>
      <c r="G43">
        <v>62</v>
      </c>
      <c r="H43">
        <v>82</v>
      </c>
      <c r="I43" s="4">
        <v>5.6</v>
      </c>
      <c r="J43" s="4">
        <v>50</v>
      </c>
      <c r="K43" s="4">
        <v>3.8</v>
      </c>
      <c r="L43" s="3">
        <v>270000000</v>
      </c>
      <c r="M43" s="3">
        <v>84500223</v>
      </c>
      <c r="N43" s="3">
        <v>121612709</v>
      </c>
      <c r="O43" s="3">
        <v>206112932</v>
      </c>
    </row>
    <row r="44" spans="1:15" x14ac:dyDescent="0.2">
      <c r="A44" t="s">
        <v>65</v>
      </c>
      <c r="B44" t="s">
        <v>43</v>
      </c>
      <c r="C44">
        <v>5</v>
      </c>
      <c r="D44" t="s">
        <v>61</v>
      </c>
      <c r="E44" s="1">
        <v>45300</v>
      </c>
      <c r="F44" s="2">
        <v>2024</v>
      </c>
      <c r="G44">
        <v>71</v>
      </c>
      <c r="H44">
        <v>61</v>
      </c>
      <c r="I44" s="4">
        <v>6</v>
      </c>
      <c r="J44" s="4">
        <v>62</v>
      </c>
      <c r="K44" s="4">
        <v>5.2</v>
      </c>
      <c r="L44" s="3">
        <v>40000000</v>
      </c>
      <c r="M44" s="3" t="s">
        <v>45</v>
      </c>
      <c r="N44" s="3" t="s">
        <v>45</v>
      </c>
      <c r="O44" s="3" t="s">
        <v>45</v>
      </c>
    </row>
    <row r="46" spans="1:15" x14ac:dyDescent="0.2">
      <c r="L46" s="3">
        <f>SUM(L2:L44)</f>
        <v>8157000000</v>
      </c>
      <c r="M46" s="3">
        <f>SUM(M2:M44)</f>
        <v>11799499952</v>
      </c>
      <c r="N46" s="3">
        <f>SUM(N2:N44)</f>
        <v>18027089947</v>
      </c>
      <c r="O46" s="3">
        <f>SUM(O2:O44)</f>
        <v>29826145377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Tracy</dc:creator>
  <cp:lastModifiedBy>Stephen Tracy</cp:lastModifiedBy>
  <dcterms:created xsi:type="dcterms:W3CDTF">2024-04-02T01:39:04Z</dcterms:created>
  <dcterms:modified xsi:type="dcterms:W3CDTF">2024-04-02T01:41:17Z</dcterms:modified>
</cp:coreProperties>
</file>